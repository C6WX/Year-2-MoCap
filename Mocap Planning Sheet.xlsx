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ucreative-my.sharepoint.com/personal/2311323_students_ucreative_ac_uk/Documents/Year 2 Animation/Motion Capture Elective/Year-2-MoCap/"/>
    </mc:Choice>
  </mc:AlternateContent>
  <xr:revisionPtr revIDLastSave="484" documentId="8_{6DC7063A-DFB2-4A7F-96B9-493E01E1A7D3}" xr6:coauthVersionLast="47" xr6:coauthVersionMax="47" xr10:uidLastSave="{2392FBB4-71EB-45C1-BC62-5A290C1194E9}"/>
  <bookViews>
    <workbookView xWindow="-120" yWindow="-120" windowWidth="29040" windowHeight="15720" activeTab="2" xr2:uid="{20970AFA-7076-4E74-BB00-A72DD054B85C}"/>
  </bookViews>
  <sheets>
    <sheet name="Characters" sheetId="5" r:id="rId1"/>
    <sheet name="SetupTime" sheetId="4" r:id="rId2"/>
    <sheet name="ShootPlan" sheetId="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D4" i="4"/>
  <c r="I4" i="1"/>
  <c r="I5" i="1" s="1"/>
  <c r="I6" i="1" s="1"/>
  <c r="I7" i="1" s="1"/>
  <c r="I8" i="1" s="1"/>
  <c r="I9" i="1" s="1"/>
  <c r="I10" i="1" s="1"/>
  <c r="I11" i="1" s="1"/>
  <c r="I12" i="1" s="1"/>
  <c r="I13" i="1" s="1"/>
  <c r="I14" i="1" s="1"/>
  <c r="I15" i="1" s="1"/>
  <c r="I16" i="1" s="1"/>
  <c r="I17" i="1" s="1"/>
  <c r="I18" i="1" s="1"/>
  <c r="I19" i="1" s="1"/>
  <c r="D5" i="4"/>
  <c r="D3" i="4"/>
  <c r="C3" i="4"/>
  <c r="I20" i="1" l="1"/>
  <c r="I21" i="1" s="1"/>
  <c r="C4" i="4"/>
  <c r="C5" i="4" s="1"/>
  <c r="C6" i="4" s="1"/>
</calcChain>
</file>

<file path=xl/sharedStrings.xml><?xml version="1.0" encoding="utf-8"?>
<sst xmlns="http://schemas.openxmlformats.org/spreadsheetml/2006/main" count="92" uniqueCount="71">
  <si>
    <t>Props</t>
  </si>
  <si>
    <t>Scene</t>
  </si>
  <si>
    <t>Shot</t>
  </si>
  <si>
    <t>Shot Name</t>
  </si>
  <si>
    <t>Pass</t>
  </si>
  <si>
    <t>Start Time</t>
  </si>
  <si>
    <t>Character 1 Name Here</t>
  </si>
  <si>
    <t>Character 2 Name Here</t>
  </si>
  <si>
    <t>Character 3 Name Here</t>
  </si>
  <si>
    <t>Shot description</t>
  </si>
  <si>
    <t>Lunch</t>
  </si>
  <si>
    <t>Time required</t>
  </si>
  <si>
    <t>Calibrate Cameras</t>
  </si>
  <si>
    <t>Suit up and marker actors</t>
  </si>
  <si>
    <t>Actor Range of Motion</t>
  </si>
  <si>
    <t>Number of actors / props</t>
  </si>
  <si>
    <t>Prop setup</t>
  </si>
  <si>
    <t>First one takes</t>
  </si>
  <si>
    <t>Each additional one takes</t>
  </si>
  <si>
    <t>Setup Complete</t>
  </si>
  <si>
    <t>No. of takes (expected)</t>
  </si>
  <si>
    <t>Re-setup after lunch</t>
  </si>
  <si>
    <t>Pack up</t>
  </si>
  <si>
    <t>Finish Time</t>
  </si>
  <si>
    <t>Actor Name</t>
  </si>
  <si>
    <t>Character Name</t>
  </si>
  <si>
    <t>No of fingers captured (0/3/5)</t>
  </si>
  <si>
    <t>Props List</t>
  </si>
  <si>
    <t>Y</t>
  </si>
  <si>
    <t>Break</t>
  </si>
  <si>
    <t>Other Notes</t>
  </si>
  <si>
    <t>Avatar (Male/Female)</t>
  </si>
  <si>
    <t>Suit
(Male/Female)</t>
  </si>
  <si>
    <t>To be motion captured (Y/N)</t>
  </si>
  <si>
    <t>*Enter the start time, number of actors, and props above</t>
  </si>
  <si>
    <t>Estimated time required</t>
  </si>
  <si>
    <t xml:space="preserve">*You will need to amend the estimated time required for each shot depending on what you are shooting and the complexity of the shot. </t>
  </si>
  <si>
    <t xml:space="preserve">Santa </t>
  </si>
  <si>
    <t>Daniel Lock</t>
  </si>
  <si>
    <t xml:space="preserve">Male </t>
  </si>
  <si>
    <t xml:space="preserve">Miltary Solider </t>
  </si>
  <si>
    <t>Santa Sack (Rubbish Bag)</t>
  </si>
  <si>
    <t>N</t>
  </si>
  <si>
    <t>Presents (Boxes)</t>
  </si>
  <si>
    <t>Markers (General loctions)</t>
  </si>
  <si>
    <t xml:space="preserve">Toys </t>
  </si>
  <si>
    <t>Cookies</t>
  </si>
  <si>
    <t>Chimney (Chairs/Mat)</t>
  </si>
  <si>
    <t xml:space="preserve">Bed (Mats) </t>
  </si>
  <si>
    <t xml:space="preserve">Gun </t>
  </si>
  <si>
    <t xml:space="preserve">Landing from sleigh </t>
  </si>
  <si>
    <t xml:space="preserve">Santa Sack </t>
  </si>
  <si>
    <t>Santa lands and Steadys himself</t>
  </si>
  <si>
    <t>Chimney and Drone</t>
  </si>
  <si>
    <t xml:space="preserve">Santa walk to chimney and spots drone, then climbs down </t>
  </si>
  <si>
    <t>Santa starts sitting down as if they fell down the chimney, then stand up and notice the kid and the toys. Santa starts creeping over all the toys towards the door. Santa goes through the door and into the hallway.</t>
  </si>
  <si>
    <t xml:space="preserve">Kids Bedroom </t>
  </si>
  <si>
    <t xml:space="preserve">Military </t>
  </si>
  <si>
    <t>Military arrival</t>
  </si>
  <si>
    <t>The military guy will creeps out from round the side of the bed and avoids the toys as santa did, heading for the door.</t>
  </si>
  <si>
    <t>Stair Fall</t>
  </si>
  <si>
    <t>Santa mimes moving his hands across the hallway wall as if he couldn't see anything. When he reaches the stairs, he steps on the bauble without looking down at it.</t>
  </si>
  <si>
    <t>Markers, Gun, Santa Sack</t>
  </si>
  <si>
    <t>Santa gets up from the floor and stumbles towards the counter as if he is hurt. He spots the cookies and starts pretending to eat.</t>
  </si>
  <si>
    <t>Santa Sack, Markers, Gun, Cookies</t>
  </si>
  <si>
    <t xml:space="preserve">Santa Sack, Gun </t>
  </si>
  <si>
    <t>Milk &amp; Cookies (Kitchen)</t>
  </si>
  <si>
    <t>All the cookies are now gone and santa grabs the counter as if he is about to fall and then wobbles towards the living room door.</t>
  </si>
  <si>
    <t xml:space="preserve">Santa Sack, Gun, Markers, Cookies </t>
  </si>
  <si>
    <t>Military</t>
  </si>
  <si>
    <t xml:space="preserve">Drugged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</si>
</sst>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2"/>
      <color theme="1"/>
      <name val="Aptos Narrow"/>
      <family val="2"/>
      <scheme val="minor"/>
    </font>
    <font>
      <b/>
      <sz val="12"/>
      <color theme="1"/>
      <name val="Aptos Narrow"/>
      <family val="2"/>
      <scheme val="minor"/>
    </font>
    <font>
      <sz val="11"/>
      <name val="Segoe UI"/>
      <family val="2"/>
    </font>
  </fonts>
  <fills count="9">
    <fill>
      <patternFill patternType="none"/>
    </fill>
    <fill>
      <patternFill patternType="gray125"/>
    </fill>
    <fill>
      <patternFill patternType="solid">
        <fgColor theme="5" tint="0.7999816888943144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0" tint="-4.9989318521683403E-2"/>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horizontal="center" wrapText="1"/>
    </xf>
    <xf numFmtId="20" fontId="1" fillId="3" borderId="0" xfId="0" applyNumberFormat="1" applyFont="1" applyFill="1" applyAlignment="1">
      <alignment horizontal="center" wrapText="1"/>
    </xf>
    <xf numFmtId="0" fontId="1" fillId="3" borderId="0" xfId="0" applyFont="1" applyFill="1" applyAlignment="1">
      <alignment horizontal="center" wrapText="1"/>
    </xf>
    <xf numFmtId="20" fontId="1" fillId="4" borderId="0" xfId="0" applyNumberFormat="1" applyFont="1" applyFill="1" applyAlignment="1">
      <alignment horizontal="center" wrapText="1"/>
    </xf>
    <xf numFmtId="20" fontId="2" fillId="5" borderId="0" xfId="0" applyNumberFormat="1" applyFont="1" applyFill="1" applyAlignment="1">
      <alignment horizontal="center" wrapText="1"/>
    </xf>
    <xf numFmtId="0" fontId="1" fillId="0" borderId="0" xfId="0" applyFont="1" applyAlignment="1">
      <alignment horizontal="right" wrapText="1"/>
    </xf>
    <xf numFmtId="0" fontId="2" fillId="6" borderId="0" xfId="0" applyFont="1" applyFill="1" applyAlignment="1">
      <alignment horizontal="right" wrapText="1"/>
    </xf>
    <xf numFmtId="0" fontId="1" fillId="7" borderId="0" xfId="0" applyFont="1" applyFill="1" applyAlignment="1">
      <alignment horizontal="right" wrapText="1"/>
    </xf>
    <xf numFmtId="0" fontId="1" fillId="7" borderId="0" xfId="0" applyFont="1" applyFill="1" applyAlignment="1">
      <alignment horizontal="center" wrapText="1"/>
    </xf>
    <xf numFmtId="0" fontId="1" fillId="4" borderId="0" xfId="0" applyFont="1" applyFill="1" applyAlignment="1">
      <alignment horizontal="center" wrapText="1"/>
    </xf>
    <xf numFmtId="0" fontId="1" fillId="0" borderId="0" xfId="0" applyFont="1" applyAlignment="1">
      <alignment horizontal="left" wrapText="1"/>
    </xf>
    <xf numFmtId="0" fontId="1" fillId="7" borderId="0" xfId="0" applyFont="1" applyFill="1" applyAlignment="1">
      <alignment horizontal="left" wrapText="1"/>
    </xf>
    <xf numFmtId="0" fontId="1" fillId="0" borderId="0" xfId="0" applyFont="1" applyAlignment="1">
      <alignment horizontal="left"/>
    </xf>
    <xf numFmtId="20" fontId="1" fillId="0" borderId="0" xfId="0" applyNumberFormat="1" applyFont="1" applyAlignment="1">
      <alignment horizontal="left" wrapText="1"/>
    </xf>
    <xf numFmtId="0" fontId="1" fillId="3" borderId="0" xfId="0" applyFont="1" applyFill="1" applyAlignment="1">
      <alignment horizontal="left" wrapText="1"/>
    </xf>
    <xf numFmtId="20" fontId="1" fillId="3" borderId="0" xfId="0" applyNumberFormat="1" applyFont="1" applyFill="1" applyAlignment="1">
      <alignment horizontal="left" wrapText="1"/>
    </xf>
    <xf numFmtId="0" fontId="1" fillId="2" borderId="0" xfId="0" applyFont="1" applyFill="1" applyAlignment="1">
      <alignment horizontal="center" wrapText="1"/>
    </xf>
    <xf numFmtId="0" fontId="0" fillId="2" borderId="0" xfId="0" applyFill="1"/>
    <xf numFmtId="20" fontId="1" fillId="8" borderId="0" xfId="0" applyNumberFormat="1" applyFont="1" applyFill="1" applyAlignment="1">
      <alignment horizontal="left" wrapText="1"/>
    </xf>
    <xf numFmtId="0" fontId="0" fillId="0" borderId="0" xfId="0" applyAlignment="1">
      <alignment horizontal="left"/>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0C65F-A89E-4381-8657-7A4243518DB3}">
  <dimension ref="A1:E12"/>
  <sheetViews>
    <sheetView workbookViewId="0">
      <selection activeCell="B21" sqref="B21"/>
    </sheetView>
  </sheetViews>
  <sheetFormatPr defaultRowHeight="15" x14ac:dyDescent="0.25"/>
  <cols>
    <col min="1" max="1" width="25.85546875" customWidth="1"/>
    <col min="2" max="2" width="25" customWidth="1"/>
    <col min="3" max="3" width="19.85546875" customWidth="1"/>
    <col min="4" max="4" width="19.7109375" customWidth="1"/>
    <col min="5" max="5" width="18.42578125" customWidth="1"/>
  </cols>
  <sheetData>
    <row r="1" spans="1:5" ht="31.5" x14ac:dyDescent="0.25">
      <c r="A1" s="17" t="s">
        <v>25</v>
      </c>
      <c r="B1" s="17" t="s">
        <v>24</v>
      </c>
      <c r="C1" s="17" t="s">
        <v>26</v>
      </c>
      <c r="D1" s="17" t="s">
        <v>32</v>
      </c>
      <c r="E1" s="17" t="s">
        <v>31</v>
      </c>
    </row>
    <row r="2" spans="1:5" x14ac:dyDescent="0.25">
      <c r="A2" t="s">
        <v>37</v>
      </c>
      <c r="B2" t="s">
        <v>38</v>
      </c>
      <c r="C2" s="20">
        <v>3</v>
      </c>
      <c r="D2" t="s">
        <v>39</v>
      </c>
      <c r="E2" t="s">
        <v>39</v>
      </c>
    </row>
    <row r="3" spans="1:5" x14ac:dyDescent="0.25">
      <c r="A3" t="s">
        <v>40</v>
      </c>
      <c r="C3" s="20">
        <v>3</v>
      </c>
      <c r="D3" t="s">
        <v>39</v>
      </c>
      <c r="E3" t="s">
        <v>39</v>
      </c>
    </row>
    <row r="4" spans="1:5" x14ac:dyDescent="0.25">
      <c r="A4" s="18" t="s">
        <v>27</v>
      </c>
      <c r="B4" s="18" t="s">
        <v>33</v>
      </c>
      <c r="C4" s="20"/>
    </row>
    <row r="5" spans="1:5" x14ac:dyDescent="0.25">
      <c r="A5" t="s">
        <v>41</v>
      </c>
      <c r="B5" t="s">
        <v>42</v>
      </c>
      <c r="C5" s="20"/>
    </row>
    <row r="6" spans="1:5" x14ac:dyDescent="0.25">
      <c r="A6" t="s">
        <v>43</v>
      </c>
      <c r="B6" t="s">
        <v>28</v>
      </c>
      <c r="C6" s="20"/>
    </row>
    <row r="7" spans="1:5" x14ac:dyDescent="0.25">
      <c r="A7" t="s">
        <v>44</v>
      </c>
      <c r="B7" t="s">
        <v>28</v>
      </c>
      <c r="C7" s="20"/>
    </row>
    <row r="8" spans="1:5" x14ac:dyDescent="0.25">
      <c r="A8" t="s">
        <v>45</v>
      </c>
      <c r="B8" t="s">
        <v>28</v>
      </c>
      <c r="C8" s="20"/>
    </row>
    <row r="9" spans="1:5" x14ac:dyDescent="0.25">
      <c r="A9" t="s">
        <v>46</v>
      </c>
      <c r="B9" t="s">
        <v>28</v>
      </c>
      <c r="C9" s="20"/>
    </row>
    <row r="10" spans="1:5" x14ac:dyDescent="0.25">
      <c r="A10" t="s">
        <v>47</v>
      </c>
      <c r="B10" t="s">
        <v>28</v>
      </c>
      <c r="C10" s="20"/>
    </row>
    <row r="11" spans="1:5" x14ac:dyDescent="0.25">
      <c r="A11" t="s">
        <v>48</v>
      </c>
      <c r="B11" t="s">
        <v>28</v>
      </c>
    </row>
    <row r="12" spans="1:5" x14ac:dyDescent="0.25">
      <c r="A12" t="s">
        <v>49</v>
      </c>
      <c r="B12" t="s">
        <v>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553A7-84CB-4215-ABB6-78B476D2DDC4}">
  <dimension ref="A1:H10"/>
  <sheetViews>
    <sheetView zoomScaleNormal="100" workbookViewId="0">
      <selection activeCell="E12" sqref="E12"/>
    </sheetView>
  </sheetViews>
  <sheetFormatPr defaultColWidth="8.7109375" defaultRowHeight="20.100000000000001" customHeight="1" x14ac:dyDescent="0.25"/>
  <cols>
    <col min="1" max="1" width="35.140625" style="6" customWidth="1"/>
    <col min="2" max="2" width="26.5703125" style="1" customWidth="1"/>
    <col min="3" max="3" width="15.85546875" style="1" customWidth="1"/>
    <col min="4" max="4" width="15.7109375" style="1" customWidth="1"/>
    <col min="5" max="6" width="8.7109375" style="1"/>
    <col min="7" max="8" width="15.85546875" style="1" customWidth="1"/>
    <col min="9" max="16384" width="8.7109375" style="1"/>
  </cols>
  <sheetData>
    <row r="1" spans="1:8" ht="42.95" customHeight="1" x14ac:dyDescent="0.25">
      <c r="B1" s="9" t="s">
        <v>15</v>
      </c>
      <c r="C1" s="9" t="s">
        <v>5</v>
      </c>
      <c r="D1" s="9" t="s">
        <v>11</v>
      </c>
      <c r="G1" s="10" t="s">
        <v>17</v>
      </c>
      <c r="H1" s="10" t="s">
        <v>18</v>
      </c>
    </row>
    <row r="2" spans="1:8" ht="20.100000000000001" customHeight="1" x14ac:dyDescent="0.25">
      <c r="A2" s="8" t="s">
        <v>12</v>
      </c>
      <c r="B2" s="1">
        <v>2</v>
      </c>
      <c r="C2" s="2">
        <v>0.41666666666666669</v>
      </c>
      <c r="D2" s="4">
        <v>1.3888888888888888E-2</v>
      </c>
      <c r="G2" s="10"/>
      <c r="H2" s="10"/>
    </row>
    <row r="3" spans="1:8" ht="20.100000000000001" customHeight="1" x14ac:dyDescent="0.25">
      <c r="A3" s="8" t="s">
        <v>13</v>
      </c>
      <c r="B3" s="3">
        <v>2</v>
      </c>
      <c r="C3" s="4">
        <f>C2+D2</f>
        <v>0.43055555555555558</v>
      </c>
      <c r="D3" s="4">
        <f>IF(B3=0,"00:00",G3+(B3-1)*H3)</f>
        <v>2.7777777777777776E-2</v>
      </c>
      <c r="G3" s="4">
        <v>2.0833333333333332E-2</v>
      </c>
      <c r="H3" s="4">
        <v>6.9444444444444441E-3</v>
      </c>
    </row>
    <row r="4" spans="1:8" ht="20.100000000000001" customHeight="1" x14ac:dyDescent="0.25">
      <c r="A4" s="8" t="s">
        <v>14</v>
      </c>
      <c r="B4" s="1">
        <v>2</v>
      </c>
      <c r="C4" s="4">
        <f t="shared" ref="C4:C6" si="0">C3+D3</f>
        <v>0.45833333333333337</v>
      </c>
      <c r="D4" s="4">
        <f>IF(B3=0,"00:00",G4+(B3-1)*H4)</f>
        <v>1.2500000000000001E-2</v>
      </c>
      <c r="G4" s="4">
        <v>6.9444444444444441E-3</v>
      </c>
      <c r="H4" s="4">
        <v>5.5555555555555558E-3</v>
      </c>
    </row>
    <row r="5" spans="1:8" ht="20.100000000000001" customHeight="1" x14ac:dyDescent="0.25">
      <c r="A5" s="8" t="s">
        <v>16</v>
      </c>
      <c r="B5" s="3">
        <v>1</v>
      </c>
      <c r="C5" s="4">
        <f t="shared" si="0"/>
        <v>0.47083333333333338</v>
      </c>
      <c r="D5" s="4">
        <f>IF(B5=0,"00:00",G5+(B5-1)*H5)</f>
        <v>6.9444444444444441E-3</v>
      </c>
      <c r="G5" s="4">
        <v>6.9444444444444441E-3</v>
      </c>
      <c r="H5" s="4">
        <v>4.8611111111111112E-3</v>
      </c>
    </row>
    <row r="6" spans="1:8" ht="20.100000000000001" customHeight="1" x14ac:dyDescent="0.25">
      <c r="A6" s="7" t="s">
        <v>19</v>
      </c>
      <c r="C6" s="5">
        <f t="shared" si="0"/>
        <v>0.4777777777777778</v>
      </c>
    </row>
    <row r="10" spans="1:8" ht="20.100000000000001" customHeight="1" x14ac:dyDescent="0.25">
      <c r="B10" s="13" t="s">
        <v>34</v>
      </c>
    </row>
  </sheetData>
  <pageMargins left="0.7" right="0.7" top="0.75" bottom="0.75" header="0.3" footer="0.3"/>
  <pageSetup paperSize="9" scale="46" orientation="landscape"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123D-E572-423C-86C9-BB801DEC0E60}">
  <dimension ref="A1:N22"/>
  <sheetViews>
    <sheetView tabSelected="1" zoomScaleNormal="100" workbookViewId="0">
      <selection activeCell="C11" sqref="C11"/>
    </sheetView>
  </sheetViews>
  <sheetFormatPr defaultColWidth="8.7109375" defaultRowHeight="20.100000000000001" customHeight="1" x14ac:dyDescent="0.25"/>
  <cols>
    <col min="1" max="2" width="7.42578125" style="11" customWidth="1"/>
    <col min="3" max="3" width="41.7109375" style="11" customWidth="1"/>
    <col min="4" max="4" width="13.5703125" style="11" customWidth="1"/>
    <col min="5" max="5" width="16.7109375" style="11" bestFit="1" customWidth="1"/>
    <col min="6" max="6" width="14.7109375" style="11" customWidth="1"/>
    <col min="7" max="7" width="15.5703125" style="11" customWidth="1"/>
    <col min="8" max="8" width="17.140625" style="11" customWidth="1"/>
    <col min="9" max="10" width="12.28515625" style="11" customWidth="1"/>
    <col min="11" max="11" width="36.5703125" style="11" customWidth="1"/>
    <col min="12" max="12" width="159.7109375" style="11" bestFit="1" customWidth="1"/>
    <col min="13" max="13" width="26.140625" style="11" customWidth="1"/>
    <col min="14" max="14" width="8.7109375" style="11"/>
    <col min="15" max="16384" width="8.7109375" style="1"/>
  </cols>
  <sheetData>
    <row r="1" spans="1:13" ht="42.95" customHeight="1" x14ac:dyDescent="0.25">
      <c r="A1" s="12" t="s">
        <v>1</v>
      </c>
      <c r="B1" s="12" t="s">
        <v>2</v>
      </c>
      <c r="C1" s="12" t="s">
        <v>3</v>
      </c>
      <c r="D1" s="12" t="s">
        <v>4</v>
      </c>
      <c r="E1" s="11" t="s">
        <v>6</v>
      </c>
      <c r="F1" s="11" t="s">
        <v>7</v>
      </c>
      <c r="G1" s="11" t="s">
        <v>8</v>
      </c>
      <c r="H1" s="12" t="s">
        <v>20</v>
      </c>
      <c r="I1" s="12" t="s">
        <v>5</v>
      </c>
      <c r="J1" s="12" t="s">
        <v>35</v>
      </c>
      <c r="K1" s="12" t="s">
        <v>0</v>
      </c>
      <c r="L1" s="12" t="s">
        <v>9</v>
      </c>
      <c r="M1" s="12" t="s">
        <v>30</v>
      </c>
    </row>
    <row r="2" spans="1:13" ht="20.100000000000001" customHeight="1" x14ac:dyDescent="0.25">
      <c r="A2" s="11">
        <v>1</v>
      </c>
      <c r="B2" s="11">
        <v>1</v>
      </c>
      <c r="C2" s="11" t="s">
        <v>50</v>
      </c>
      <c r="D2" s="11">
        <v>2</v>
      </c>
      <c r="E2" s="13" t="s">
        <v>37</v>
      </c>
      <c r="H2" s="11">
        <v>2</v>
      </c>
      <c r="I2" s="14">
        <v>0.5</v>
      </c>
      <c r="J2" s="14">
        <v>6.9444444444444441E-3</v>
      </c>
      <c r="K2" s="11" t="s">
        <v>51</v>
      </c>
      <c r="L2" s="11" t="s">
        <v>52</v>
      </c>
    </row>
    <row r="3" spans="1:13" ht="20.100000000000001" customHeight="1" x14ac:dyDescent="0.25">
      <c r="A3" s="11">
        <v>1</v>
      </c>
      <c r="B3" s="11">
        <v>2</v>
      </c>
      <c r="C3" s="11" t="s">
        <v>53</v>
      </c>
      <c r="D3" s="11">
        <v>1</v>
      </c>
      <c r="E3" s="13" t="s">
        <v>37</v>
      </c>
      <c r="H3" s="11">
        <v>1</v>
      </c>
      <c r="I3" s="19">
        <f>I2+J2</f>
        <v>0.50694444444444442</v>
      </c>
      <c r="J3" s="14">
        <v>3.472222222222222E-3</v>
      </c>
      <c r="K3" s="11" t="s">
        <v>51</v>
      </c>
      <c r="L3" s="11" t="s">
        <v>54</v>
      </c>
    </row>
    <row r="4" spans="1:13" ht="31.5" x14ac:dyDescent="0.25">
      <c r="A4" s="11">
        <v>2</v>
      </c>
      <c r="B4" s="11">
        <v>1</v>
      </c>
      <c r="C4" s="11" t="s">
        <v>56</v>
      </c>
      <c r="D4" s="11">
        <v>2</v>
      </c>
      <c r="E4" s="13" t="s">
        <v>37</v>
      </c>
      <c r="F4" s="11" t="s">
        <v>57</v>
      </c>
      <c r="H4" s="11">
        <v>2</v>
      </c>
      <c r="I4" s="19">
        <f t="shared" ref="I4:I21" si="0">I3+J3</f>
        <v>0.51041666666666663</v>
      </c>
      <c r="J4" s="14">
        <v>1.0416666666666666E-2</v>
      </c>
      <c r="K4" s="11" t="s">
        <v>65</v>
      </c>
      <c r="L4" s="11" t="s">
        <v>55</v>
      </c>
    </row>
    <row r="5" spans="1:13" ht="31.5" x14ac:dyDescent="0.25">
      <c r="A5" s="11">
        <v>2</v>
      </c>
      <c r="B5" s="11">
        <v>2</v>
      </c>
      <c r="C5" s="11" t="s">
        <v>58</v>
      </c>
      <c r="D5" s="11">
        <v>1</v>
      </c>
      <c r="E5" s="13" t="s">
        <v>57</v>
      </c>
      <c r="H5" s="11">
        <v>1</v>
      </c>
      <c r="I5" s="19">
        <f t="shared" si="0"/>
        <v>0.52083333333333326</v>
      </c>
      <c r="J5" s="14">
        <v>3.472222222222222E-3</v>
      </c>
      <c r="K5" s="11" t="s">
        <v>49</v>
      </c>
      <c r="L5" s="11" t="s">
        <v>59</v>
      </c>
    </row>
    <row r="6" spans="1:13" ht="16.5" x14ac:dyDescent="0.3">
      <c r="A6" s="11">
        <v>3</v>
      </c>
      <c r="B6" s="11">
        <v>1</v>
      </c>
      <c r="C6" s="11" t="s">
        <v>60</v>
      </c>
      <c r="D6" s="11">
        <v>3</v>
      </c>
      <c r="E6" s="11" t="s">
        <v>37</v>
      </c>
      <c r="F6" s="11" t="s">
        <v>57</v>
      </c>
      <c r="H6" s="11">
        <v>5</v>
      </c>
      <c r="I6" s="19">
        <f t="shared" si="0"/>
        <v>0.52430555555555547</v>
      </c>
      <c r="J6" s="14">
        <v>1.0416666666666666E-2</v>
      </c>
      <c r="K6" s="11" t="s">
        <v>62</v>
      </c>
      <c r="L6" s="21" t="s">
        <v>61</v>
      </c>
    </row>
    <row r="7" spans="1:13" ht="20.100000000000001" customHeight="1" x14ac:dyDescent="0.3">
      <c r="A7" s="11">
        <v>4</v>
      </c>
      <c r="B7" s="11">
        <v>1</v>
      </c>
      <c r="C7" s="11" t="s">
        <v>66</v>
      </c>
      <c r="D7" s="11">
        <v>2</v>
      </c>
      <c r="E7" s="11" t="s">
        <v>37</v>
      </c>
      <c r="F7" s="11" t="s">
        <v>57</v>
      </c>
      <c r="H7" s="11">
        <v>2</v>
      </c>
      <c r="I7" s="19">
        <f t="shared" si="0"/>
        <v>0.5347222222222221</v>
      </c>
      <c r="J7" s="14">
        <v>6.9444444444444441E-3</v>
      </c>
      <c r="K7" s="11" t="s">
        <v>64</v>
      </c>
      <c r="L7" s="21" t="s">
        <v>63</v>
      </c>
    </row>
    <row r="8" spans="1:13" ht="20.100000000000001" customHeight="1" x14ac:dyDescent="0.25">
      <c r="A8" s="15"/>
      <c r="B8" s="15"/>
      <c r="C8" s="15" t="s">
        <v>10</v>
      </c>
      <c r="D8" s="15"/>
      <c r="E8" s="15"/>
      <c r="F8" s="15"/>
      <c r="G8" s="15"/>
      <c r="H8" s="15"/>
      <c r="I8" s="19">
        <f t="shared" si="0"/>
        <v>0.54166666666666652</v>
      </c>
      <c r="J8" s="16">
        <v>4.1666666666666664E-2</v>
      </c>
      <c r="K8" s="15"/>
      <c r="L8" s="15"/>
      <c r="M8" s="15"/>
    </row>
    <row r="9" spans="1:13" ht="20.100000000000001" customHeight="1" x14ac:dyDescent="0.25">
      <c r="A9" s="15"/>
      <c r="B9" s="15"/>
      <c r="C9" s="15" t="s">
        <v>21</v>
      </c>
      <c r="D9" s="15"/>
      <c r="E9" s="15"/>
      <c r="F9" s="15"/>
      <c r="G9" s="15"/>
      <c r="H9" s="15"/>
      <c r="I9" s="19">
        <f t="shared" si="0"/>
        <v>0.58333333333333315</v>
      </c>
      <c r="J9" s="16">
        <v>2.0833333333333332E-2</v>
      </c>
      <c r="K9" s="15"/>
      <c r="L9" s="15"/>
      <c r="M9" s="15"/>
    </row>
    <row r="10" spans="1:13" ht="20.100000000000001" customHeight="1" x14ac:dyDescent="0.25">
      <c r="A10" s="11">
        <v>4</v>
      </c>
      <c r="B10" s="11">
        <v>2</v>
      </c>
      <c r="C10" s="11" t="s">
        <v>70</v>
      </c>
      <c r="D10" s="11">
        <v>2</v>
      </c>
      <c r="E10" s="11" t="s">
        <v>37</v>
      </c>
      <c r="F10" s="11" t="s">
        <v>69</v>
      </c>
      <c r="H10" s="11">
        <v>3</v>
      </c>
      <c r="I10" s="19">
        <f t="shared" si="0"/>
        <v>0.60416666666666652</v>
      </c>
      <c r="J10" s="14">
        <v>6.9444444444444441E-3</v>
      </c>
      <c r="K10" s="11" t="s">
        <v>68</v>
      </c>
      <c r="L10" s="11" t="s">
        <v>67</v>
      </c>
    </row>
    <row r="11" spans="1:13" ht="20.100000000000001" customHeight="1" x14ac:dyDescent="0.25">
      <c r="A11" s="11">
        <v>5</v>
      </c>
      <c r="B11" s="11">
        <v>1</v>
      </c>
      <c r="I11" s="19">
        <f t="shared" si="0"/>
        <v>0.61111111111111094</v>
      </c>
      <c r="J11" s="14">
        <v>6.9444444444444441E-3</v>
      </c>
    </row>
    <row r="12" spans="1:13" ht="20.100000000000001" customHeight="1" x14ac:dyDescent="0.25">
      <c r="A12" s="11">
        <v>2</v>
      </c>
      <c r="B12" s="11">
        <v>3</v>
      </c>
      <c r="I12" s="19">
        <f t="shared" si="0"/>
        <v>0.61805555555555536</v>
      </c>
      <c r="J12" s="14">
        <v>6.9444444444444441E-3</v>
      </c>
    </row>
    <row r="13" spans="1:13" ht="20.100000000000001" customHeight="1" x14ac:dyDescent="0.25">
      <c r="A13" s="11">
        <v>2</v>
      </c>
      <c r="B13" s="11">
        <v>4</v>
      </c>
      <c r="I13" s="19">
        <f t="shared" si="0"/>
        <v>0.62499999999999978</v>
      </c>
      <c r="J13" s="14">
        <v>6.9444444444444441E-3</v>
      </c>
    </row>
    <row r="14" spans="1:13" ht="20.100000000000001" customHeight="1" x14ac:dyDescent="0.25">
      <c r="A14" s="11">
        <v>2</v>
      </c>
      <c r="B14" s="11">
        <v>5</v>
      </c>
      <c r="I14" s="19">
        <f t="shared" si="0"/>
        <v>0.6319444444444442</v>
      </c>
      <c r="J14" s="14">
        <v>6.9444444444444441E-3</v>
      </c>
    </row>
    <row r="15" spans="1:13" ht="20.100000000000001" customHeight="1" x14ac:dyDescent="0.25">
      <c r="A15" s="15"/>
      <c r="B15" s="15"/>
      <c r="C15" s="16" t="s">
        <v>29</v>
      </c>
      <c r="D15" s="15"/>
      <c r="E15" s="15"/>
      <c r="F15" s="15"/>
      <c r="G15" s="15"/>
      <c r="H15" s="15"/>
      <c r="I15" s="19">
        <f t="shared" si="0"/>
        <v>0.63888888888888862</v>
      </c>
      <c r="J15" s="16">
        <v>6.9444444444444441E-3</v>
      </c>
      <c r="K15" s="15"/>
      <c r="L15" s="15"/>
      <c r="M15" s="15"/>
    </row>
    <row r="16" spans="1:13" ht="20.100000000000001" customHeight="1" x14ac:dyDescent="0.25">
      <c r="A16" s="11">
        <v>2</v>
      </c>
      <c r="B16" s="11">
        <v>5</v>
      </c>
      <c r="I16" s="19">
        <f t="shared" si="0"/>
        <v>0.64583333333333304</v>
      </c>
      <c r="J16" s="14">
        <v>6.9444444444444441E-3</v>
      </c>
    </row>
    <row r="17" spans="1:13" ht="20.100000000000001" customHeight="1" x14ac:dyDescent="0.25">
      <c r="A17" s="11">
        <v>2</v>
      </c>
      <c r="B17" s="11">
        <v>6</v>
      </c>
      <c r="I17" s="19">
        <f t="shared" si="0"/>
        <v>0.65277777777777746</v>
      </c>
      <c r="J17" s="14">
        <v>6.9444444444444441E-3</v>
      </c>
    </row>
    <row r="18" spans="1:13" ht="20.100000000000001" customHeight="1" x14ac:dyDescent="0.25">
      <c r="A18" s="11">
        <v>2</v>
      </c>
      <c r="B18" s="11">
        <v>7</v>
      </c>
      <c r="I18" s="19">
        <f t="shared" si="0"/>
        <v>0.65972222222222188</v>
      </c>
      <c r="J18" s="14">
        <v>6.9444444444444441E-3</v>
      </c>
    </row>
    <row r="19" spans="1:13" ht="20.100000000000001" customHeight="1" x14ac:dyDescent="0.25">
      <c r="A19" s="11">
        <v>2</v>
      </c>
      <c r="B19" s="11">
        <v>8</v>
      </c>
      <c r="I19" s="19">
        <f t="shared" si="0"/>
        <v>0.6666666666666663</v>
      </c>
      <c r="J19" s="14">
        <v>6.9444444444444441E-3</v>
      </c>
    </row>
    <row r="20" spans="1:13" ht="20.100000000000001" customHeight="1" x14ac:dyDescent="0.25">
      <c r="A20" s="15"/>
      <c r="B20" s="15"/>
      <c r="C20" s="15" t="s">
        <v>22</v>
      </c>
      <c r="D20" s="15"/>
      <c r="E20" s="15"/>
      <c r="F20" s="15"/>
      <c r="G20" s="15"/>
      <c r="H20" s="15"/>
      <c r="I20" s="19">
        <f t="shared" si="0"/>
        <v>0.67361111111111072</v>
      </c>
      <c r="J20" s="16">
        <v>3.125E-2</v>
      </c>
      <c r="K20" s="15"/>
      <c r="L20" s="15"/>
      <c r="M20" s="15"/>
    </row>
    <row r="21" spans="1:13" ht="20.100000000000001" customHeight="1" x14ac:dyDescent="0.25">
      <c r="A21" s="15"/>
      <c r="B21" s="15"/>
      <c r="C21" s="15" t="s">
        <v>23</v>
      </c>
      <c r="D21" s="15"/>
      <c r="E21" s="15"/>
      <c r="F21" s="15"/>
      <c r="G21" s="15"/>
      <c r="H21" s="15"/>
      <c r="I21" s="19">
        <f t="shared" si="0"/>
        <v>0.70486111111111072</v>
      </c>
      <c r="J21" s="16"/>
      <c r="K21" s="15"/>
      <c r="L21" s="15"/>
      <c r="M21" s="15"/>
    </row>
    <row r="22" spans="1:13" ht="20.100000000000001" customHeight="1" x14ac:dyDescent="0.25">
      <c r="J22" s="13" t="s">
        <v>36</v>
      </c>
    </row>
  </sheetData>
  <pageMargins left="0.7" right="0.7" top="0.75" bottom="0.75" header="0.3" footer="0.3"/>
  <pageSetup paperSize="9" scale="46" orientation="landscape"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Characters</vt:lpstr>
      <vt:lpstr>SetupTime</vt:lpstr>
      <vt:lpstr>ShootPlan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Gavin Lewis</dc:creator>
  <cp:lastModifiedBy>2311323 Piper Crow</cp:lastModifiedBy>
  <dcterms:created xsi:type="dcterms:W3CDTF">2025-12-03T13:38:01Z</dcterms:created>
  <dcterms:modified xsi:type="dcterms:W3CDTF">2025-12-11T15:40:30Z</dcterms:modified>
</cp:coreProperties>
</file>