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ucreative-my.sharepoint.com/personal/2311323_students_ucreative_ac_uk/Documents/Year 2 Animation/Motion Capture Elective/Year-2-MoCap/"/>
    </mc:Choice>
  </mc:AlternateContent>
  <xr:revisionPtr revIDLastSave="541" documentId="8_{6DC7063A-DFB2-4A7F-96B9-493E01E1A7D3}" xr6:coauthVersionLast="47" xr6:coauthVersionMax="47" xr10:uidLastSave="{2A2B1598-71C3-4A45-9249-1987E135D1BD}"/>
  <bookViews>
    <workbookView xWindow="-108" yWindow="-108" windowWidth="23256" windowHeight="13176" activeTab="2" xr2:uid="{20970AFA-7076-4E74-BB00-A72DD054B85C}"/>
  </bookViews>
  <sheets>
    <sheet name="Characters" sheetId="5" r:id="rId1"/>
    <sheet name="SetupTime" sheetId="4" r:id="rId2"/>
    <sheet name="ShootPlan"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I3" i="1"/>
  <c r="I4" i="1"/>
  <c r="I5" i="1" s="1"/>
  <c r="I6" i="1" s="1"/>
  <c r="I7" i="1" s="1"/>
  <c r="I8" i="1" s="1"/>
  <c r="I9" i="1" s="1"/>
  <c r="I10" i="1" s="1"/>
  <c r="I11" i="1" s="1"/>
  <c r="I12" i="1" s="1"/>
  <c r="I13" i="1" s="1"/>
  <c r="I14" i="1" s="1"/>
  <c r="I15" i="1" s="1"/>
  <c r="I16" i="1" s="1"/>
  <c r="I17" i="1" s="1"/>
  <c r="I18" i="1" s="1"/>
  <c r="I19" i="1" s="1"/>
  <c r="D5" i="4"/>
  <c r="D3" i="4"/>
  <c r="C3" i="4"/>
  <c r="I20" i="1" l="1"/>
  <c r="I21" i="1" s="1"/>
  <c r="C4" i="4"/>
  <c r="C5" i="4" s="1"/>
  <c r="C6" i="4" s="1"/>
</calcChain>
</file>

<file path=xl/sharedStrings.xml><?xml version="1.0" encoding="utf-8"?>
<sst xmlns="http://schemas.openxmlformats.org/spreadsheetml/2006/main" count="120" uniqueCount="84">
  <si>
    <t>Props</t>
  </si>
  <si>
    <t>Scene</t>
  </si>
  <si>
    <t>Shot</t>
  </si>
  <si>
    <t>Shot Name</t>
  </si>
  <si>
    <t>Pass</t>
  </si>
  <si>
    <t>Start Time</t>
  </si>
  <si>
    <t>Character 1 Name Here</t>
  </si>
  <si>
    <t>Character 2 Name Here</t>
  </si>
  <si>
    <t>Character 3 Name Here</t>
  </si>
  <si>
    <t>Shot description</t>
  </si>
  <si>
    <t>Lunch</t>
  </si>
  <si>
    <t>Time required</t>
  </si>
  <si>
    <t>Calibrate Cameras</t>
  </si>
  <si>
    <t>Suit up and marker actors</t>
  </si>
  <si>
    <t>Actor Range of Motion</t>
  </si>
  <si>
    <t>Number of actors / props</t>
  </si>
  <si>
    <t>Prop setup</t>
  </si>
  <si>
    <t>First one takes</t>
  </si>
  <si>
    <t>Each additional one takes</t>
  </si>
  <si>
    <t>Setup Complete</t>
  </si>
  <si>
    <t>No. of takes (expected)</t>
  </si>
  <si>
    <t>Re-setup after lunch</t>
  </si>
  <si>
    <t>Pack up</t>
  </si>
  <si>
    <t>Finish Time</t>
  </si>
  <si>
    <t>Actor Name</t>
  </si>
  <si>
    <t>Character Name</t>
  </si>
  <si>
    <t>No of fingers captured (0/3/5)</t>
  </si>
  <si>
    <t>Props List</t>
  </si>
  <si>
    <t>Y</t>
  </si>
  <si>
    <t>Break</t>
  </si>
  <si>
    <t>Other Notes</t>
  </si>
  <si>
    <t>Avatar (Male/Female)</t>
  </si>
  <si>
    <t>Suit
(Male/Female)</t>
  </si>
  <si>
    <t>To be motion captured (Y/N)</t>
  </si>
  <si>
    <t>*Enter the start time, number of actors, and props above</t>
  </si>
  <si>
    <t>Estimated time required</t>
  </si>
  <si>
    <t xml:space="preserve">*You will need to amend the estimated time required for each shot depending on what you are shooting and the complexity of the shot. </t>
  </si>
  <si>
    <t xml:space="preserve">Santa </t>
  </si>
  <si>
    <t>Daniel Lock</t>
  </si>
  <si>
    <t xml:space="preserve">Male </t>
  </si>
  <si>
    <t xml:space="preserve">Miltary Solider </t>
  </si>
  <si>
    <t>Santa Sack (Rubbish Bag)</t>
  </si>
  <si>
    <t>N</t>
  </si>
  <si>
    <t>Presents (Boxes)</t>
  </si>
  <si>
    <t>Markers (General loctions)</t>
  </si>
  <si>
    <t xml:space="preserve">Toys </t>
  </si>
  <si>
    <t>Cookies</t>
  </si>
  <si>
    <t>Chimney (Chairs/Mat)</t>
  </si>
  <si>
    <t xml:space="preserve">Bed (Mats) </t>
  </si>
  <si>
    <t xml:space="preserve">Gun </t>
  </si>
  <si>
    <t xml:space="preserve">Landing from sleigh </t>
  </si>
  <si>
    <t xml:space="preserve">Santa Sack </t>
  </si>
  <si>
    <t>Santa lands and Steadys himself</t>
  </si>
  <si>
    <t>Chimney and Drone</t>
  </si>
  <si>
    <t xml:space="preserve">Santa walk to chimney and spots drone, then climbs down </t>
  </si>
  <si>
    <t>Santa starts sitting down as if they fell down the chimney, then stand up and notice the kid and the toys. Santa starts creeping over all the toys towards the door. Santa goes through the door and into the hallway.</t>
  </si>
  <si>
    <t xml:space="preserve">Kids Bedroom </t>
  </si>
  <si>
    <t xml:space="preserve">Military </t>
  </si>
  <si>
    <t>Military arrival</t>
  </si>
  <si>
    <t>The military guy will creeps out from round the side of the bed and avoids the toys as santa did, heading for the door.</t>
  </si>
  <si>
    <t>Stair Fall</t>
  </si>
  <si>
    <t>Santa mimes moving his hands across the hallway wall as if he couldn't see anything. When he reaches the stairs, he steps on the bauble without looking down at it.</t>
  </si>
  <si>
    <t>Markers, Gun, Santa Sack</t>
  </si>
  <si>
    <t>Santa gets up from the floor and stumbles towards the counter as if he is hurt. He spots the cookies and starts pretending to eat.</t>
  </si>
  <si>
    <t>Santa Sack, Markers, Gun, Cookies</t>
  </si>
  <si>
    <t xml:space="preserve">Santa Sack, Gun </t>
  </si>
  <si>
    <t>Milk &amp; Cookies (Kitchen)</t>
  </si>
  <si>
    <t>All the cookies are now gone and santa grabs the counter as if he is about to fall and then wobbles towards the living room door.</t>
  </si>
  <si>
    <t xml:space="preserve">Santa Sack, Gun, Markers, Cookies </t>
  </si>
  <si>
    <t>Military</t>
  </si>
  <si>
    <t xml:space="preserve">Drugged </t>
  </si>
  <si>
    <t>Santa wobbles towards the tree and reaches for his sack to place presents. Santa kneels on one knee to reach under the tree and starts placing presents from inside the sack to under the tree.</t>
  </si>
  <si>
    <t xml:space="preserve">Santa Sack, Gun, Markers, Presents </t>
  </si>
  <si>
    <t>Christmas Tree</t>
  </si>
  <si>
    <t>Santa will keep his hands stuck to his sides as if he is trapped in a wreath. Military soldiers will approach him holding weapons after santa has been trapped. Santa will then fall to his knees or fall over due to the drugged cookies.</t>
  </si>
  <si>
    <t xml:space="preserve">Trap Santa </t>
  </si>
  <si>
    <t>Santa Sack, Gun, Markers, Mat</t>
  </si>
  <si>
    <t>Santa will wake up in the cell from on the floor and then walks up to the bars and grips onto them and shakes.</t>
  </si>
  <si>
    <t>Area 51</t>
  </si>
  <si>
    <t xml:space="preserve">Markers, Bottels, Chairs </t>
  </si>
  <si>
    <t xml:space="preserve">Alien </t>
  </si>
  <si>
    <t xml:space="preserve">Extras/Reshoots if needed </t>
  </si>
  <si>
    <t>N/A</t>
  </si>
  <si>
    <t>Alien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</si>
</sst>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Narrow"/>
      <family val="2"/>
      <scheme val="minor"/>
    </font>
    <font>
      <b/>
      <sz val="12"/>
      <color theme="1"/>
      <name val="Aptos Narrow"/>
      <family val="2"/>
      <scheme val="minor"/>
    </font>
    <font>
      <sz val="11"/>
      <name val="Segoe UI"/>
      <family val="2"/>
    </font>
    <font>
      <sz val="12"/>
      <name val="Aptos Narrow"/>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wrapText="1"/>
    </xf>
    <xf numFmtId="20" fontId="1" fillId="3" borderId="0" xfId="0" applyNumberFormat="1" applyFont="1" applyFill="1" applyAlignment="1">
      <alignment horizontal="center" wrapText="1"/>
    </xf>
    <xf numFmtId="0" fontId="1" fillId="3" borderId="0" xfId="0" applyFont="1" applyFill="1" applyAlignment="1">
      <alignment horizontal="center" wrapText="1"/>
    </xf>
    <xf numFmtId="20" fontId="1" fillId="4" borderId="0" xfId="0" applyNumberFormat="1" applyFont="1" applyFill="1" applyAlignment="1">
      <alignment horizontal="center" wrapText="1"/>
    </xf>
    <xf numFmtId="20" fontId="2" fillId="5" borderId="0" xfId="0" applyNumberFormat="1" applyFont="1" applyFill="1" applyAlignment="1">
      <alignment horizontal="center" wrapText="1"/>
    </xf>
    <xf numFmtId="0" fontId="1" fillId="0" borderId="0" xfId="0" applyFont="1" applyAlignment="1">
      <alignment horizontal="right" wrapText="1"/>
    </xf>
    <xf numFmtId="0" fontId="2" fillId="6" borderId="0" xfId="0" applyFont="1" applyFill="1" applyAlignment="1">
      <alignment horizontal="right" wrapText="1"/>
    </xf>
    <xf numFmtId="0" fontId="1" fillId="7" borderId="0" xfId="0" applyFont="1" applyFill="1" applyAlignment="1">
      <alignment horizontal="right" wrapText="1"/>
    </xf>
    <xf numFmtId="0" fontId="1" fillId="7" borderId="0" xfId="0" applyFont="1" applyFill="1" applyAlignment="1">
      <alignment horizontal="center" wrapText="1"/>
    </xf>
    <xf numFmtId="0" fontId="1" fillId="4" borderId="0" xfId="0" applyFont="1" applyFill="1" applyAlignment="1">
      <alignment horizontal="center" wrapText="1"/>
    </xf>
    <xf numFmtId="0" fontId="1" fillId="0" borderId="0" xfId="0" applyFont="1" applyAlignment="1">
      <alignment horizontal="left" wrapText="1"/>
    </xf>
    <xf numFmtId="0" fontId="1" fillId="7" borderId="0" xfId="0" applyFont="1" applyFill="1" applyAlignment="1">
      <alignment horizontal="left" wrapText="1"/>
    </xf>
    <xf numFmtId="0" fontId="1" fillId="0" borderId="0" xfId="0" applyFont="1" applyAlignment="1">
      <alignment horizontal="left"/>
    </xf>
    <xf numFmtId="20" fontId="1" fillId="0" borderId="0" xfId="0" applyNumberFormat="1" applyFont="1" applyAlignment="1">
      <alignment horizontal="left" wrapText="1"/>
    </xf>
    <xf numFmtId="0" fontId="1" fillId="3" borderId="0" xfId="0" applyFont="1" applyFill="1" applyAlignment="1">
      <alignment horizontal="left" wrapText="1"/>
    </xf>
    <xf numFmtId="20" fontId="1" fillId="3" borderId="0" xfId="0" applyNumberFormat="1" applyFont="1" applyFill="1" applyAlignment="1">
      <alignment horizontal="left" wrapText="1"/>
    </xf>
    <xf numFmtId="0" fontId="1" fillId="2" borderId="0" xfId="0" applyFont="1" applyFill="1" applyAlignment="1">
      <alignment horizontal="center" wrapText="1"/>
    </xf>
    <xf numFmtId="0" fontId="0" fillId="2" borderId="0" xfId="0" applyFill="1"/>
    <xf numFmtId="20" fontId="1" fillId="8" borderId="0" xfId="0" applyNumberFormat="1" applyFont="1" applyFill="1" applyAlignment="1">
      <alignment horizontal="left" wrapText="1"/>
    </xf>
    <xf numFmtId="0" fontId="0" fillId="0" borderId="0" xfId="0" applyAlignment="1">
      <alignment horizontal="left"/>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C65F-A89E-4381-8657-7A4243518DB3}">
  <dimension ref="A1:E13"/>
  <sheetViews>
    <sheetView workbookViewId="0">
      <selection activeCell="E4" sqref="E4"/>
    </sheetView>
  </sheetViews>
  <sheetFormatPr defaultRowHeight="14.4" x14ac:dyDescent="0.3"/>
  <cols>
    <col min="1" max="1" width="25.88671875" customWidth="1"/>
    <col min="2" max="2" width="25" customWidth="1"/>
    <col min="3" max="3" width="19.88671875" customWidth="1"/>
    <col min="4" max="4" width="19.6640625" customWidth="1"/>
    <col min="5" max="5" width="18.44140625" customWidth="1"/>
  </cols>
  <sheetData>
    <row r="1" spans="1:5" ht="31.2" x14ac:dyDescent="0.3">
      <c r="A1" s="17" t="s">
        <v>25</v>
      </c>
      <c r="B1" s="17" t="s">
        <v>24</v>
      </c>
      <c r="C1" s="17" t="s">
        <v>26</v>
      </c>
      <c r="D1" s="17" t="s">
        <v>32</v>
      </c>
      <c r="E1" s="17" t="s">
        <v>31</v>
      </c>
    </row>
    <row r="2" spans="1:5" x14ac:dyDescent="0.3">
      <c r="A2" t="s">
        <v>37</v>
      </c>
      <c r="B2" t="s">
        <v>38</v>
      </c>
      <c r="C2" s="20">
        <v>3</v>
      </c>
      <c r="D2" t="s">
        <v>39</v>
      </c>
      <c r="E2" t="s">
        <v>39</v>
      </c>
    </row>
    <row r="3" spans="1:5" x14ac:dyDescent="0.3">
      <c r="A3" t="s">
        <v>40</v>
      </c>
      <c r="C3" s="20">
        <v>3</v>
      </c>
      <c r="D3" t="s">
        <v>39</v>
      </c>
      <c r="E3" t="s">
        <v>39</v>
      </c>
    </row>
    <row r="4" spans="1:5" x14ac:dyDescent="0.3">
      <c r="A4" t="s">
        <v>80</v>
      </c>
      <c r="C4" s="20">
        <v>3</v>
      </c>
      <c r="D4" t="s">
        <v>39</v>
      </c>
      <c r="E4" t="s">
        <v>39</v>
      </c>
    </row>
    <row r="5" spans="1:5" x14ac:dyDescent="0.3">
      <c r="A5" s="18" t="s">
        <v>27</v>
      </c>
      <c r="B5" s="18" t="s">
        <v>33</v>
      </c>
      <c r="C5" s="20"/>
    </row>
    <row r="6" spans="1:5" x14ac:dyDescent="0.3">
      <c r="A6" t="s">
        <v>41</v>
      </c>
      <c r="B6" t="s">
        <v>42</v>
      </c>
      <c r="C6" s="20"/>
    </row>
    <row r="7" spans="1:5" x14ac:dyDescent="0.3">
      <c r="A7" t="s">
        <v>43</v>
      </c>
      <c r="B7" t="s">
        <v>28</v>
      </c>
      <c r="C7" s="20"/>
    </row>
    <row r="8" spans="1:5" x14ac:dyDescent="0.3">
      <c r="A8" t="s">
        <v>44</v>
      </c>
      <c r="B8" t="s">
        <v>28</v>
      </c>
      <c r="C8" s="20"/>
    </row>
    <row r="9" spans="1:5" x14ac:dyDescent="0.3">
      <c r="A9" t="s">
        <v>45</v>
      </c>
      <c r="B9" t="s">
        <v>28</v>
      </c>
      <c r="C9" s="20"/>
    </row>
    <row r="10" spans="1:5" x14ac:dyDescent="0.3">
      <c r="A10" t="s">
        <v>46</v>
      </c>
      <c r="B10" t="s">
        <v>28</v>
      </c>
      <c r="C10" s="20"/>
    </row>
    <row r="11" spans="1:5" x14ac:dyDescent="0.3">
      <c r="A11" t="s">
        <v>47</v>
      </c>
      <c r="B11" t="s">
        <v>28</v>
      </c>
    </row>
    <row r="12" spans="1:5" x14ac:dyDescent="0.3">
      <c r="A12" t="s">
        <v>48</v>
      </c>
      <c r="B12" t="s">
        <v>28</v>
      </c>
    </row>
    <row r="13" spans="1:5" x14ac:dyDescent="0.3">
      <c r="A13" t="s">
        <v>49</v>
      </c>
      <c r="B13"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553A7-84CB-4215-ABB6-78B476D2DDC4}">
  <dimension ref="A1:H10"/>
  <sheetViews>
    <sheetView zoomScaleNormal="100" workbookViewId="0">
      <selection activeCell="H6" sqref="H6"/>
    </sheetView>
  </sheetViews>
  <sheetFormatPr defaultColWidth="8.6640625" defaultRowHeight="20.100000000000001" customHeight="1" x14ac:dyDescent="0.3"/>
  <cols>
    <col min="1" max="1" width="35.109375" style="6" customWidth="1"/>
    <col min="2" max="2" width="26.5546875" style="1" customWidth="1"/>
    <col min="3" max="3" width="15.88671875" style="1" customWidth="1"/>
    <col min="4" max="4" width="15.6640625" style="1" customWidth="1"/>
    <col min="5" max="6" width="8.6640625" style="1"/>
    <col min="7" max="8" width="15.88671875" style="1" customWidth="1"/>
    <col min="9" max="16384" width="8.6640625" style="1"/>
  </cols>
  <sheetData>
    <row r="1" spans="1:8" ht="42.9" customHeight="1" x14ac:dyDescent="0.3">
      <c r="B1" s="9" t="s">
        <v>15</v>
      </c>
      <c r="C1" s="9" t="s">
        <v>5</v>
      </c>
      <c r="D1" s="9" t="s">
        <v>11</v>
      </c>
      <c r="G1" s="10" t="s">
        <v>17</v>
      </c>
      <c r="H1" s="10" t="s">
        <v>18</v>
      </c>
    </row>
    <row r="2" spans="1:8" ht="20.100000000000001" customHeight="1" x14ac:dyDescent="0.3">
      <c r="A2" s="8" t="s">
        <v>12</v>
      </c>
      <c r="B2" s="1">
        <v>2</v>
      </c>
      <c r="C2" s="2">
        <v>0.41666666666666669</v>
      </c>
      <c r="D2" s="4">
        <v>1.3888888888888888E-2</v>
      </c>
      <c r="G2" s="10"/>
      <c r="H2" s="10"/>
    </row>
    <row r="3" spans="1:8" ht="20.100000000000001" customHeight="1" x14ac:dyDescent="0.3">
      <c r="A3" s="8" t="s">
        <v>13</v>
      </c>
      <c r="B3" s="3">
        <v>2</v>
      </c>
      <c r="C3" s="4">
        <f>C2+D2</f>
        <v>0.43055555555555558</v>
      </c>
      <c r="D3" s="4">
        <f>IF(B3=0,"00:00",G3+(B3-1)*H3)</f>
        <v>2.7777777777777776E-2</v>
      </c>
      <c r="G3" s="4">
        <v>2.0833333333333332E-2</v>
      </c>
      <c r="H3" s="4">
        <v>6.9444444444444441E-3</v>
      </c>
    </row>
    <row r="4" spans="1:8" ht="20.100000000000001" customHeight="1" x14ac:dyDescent="0.3">
      <c r="A4" s="8" t="s">
        <v>14</v>
      </c>
      <c r="B4" s="1">
        <v>2</v>
      </c>
      <c r="C4" s="4">
        <f t="shared" ref="C4:C6" si="0">C3+D3</f>
        <v>0.45833333333333337</v>
      </c>
      <c r="D4" s="4">
        <f>IF(B3=0,"00:00",G4+(B3-1)*H4)</f>
        <v>1.3888888888888888E-2</v>
      </c>
      <c r="G4" s="4">
        <v>6.9444444444444441E-3</v>
      </c>
      <c r="H4" s="4">
        <v>6.9444444444444441E-3</v>
      </c>
    </row>
    <row r="5" spans="1:8" ht="20.100000000000001" customHeight="1" x14ac:dyDescent="0.3">
      <c r="A5" s="8" t="s">
        <v>16</v>
      </c>
      <c r="B5" s="3">
        <v>1</v>
      </c>
      <c r="C5" s="4">
        <f t="shared" si="0"/>
        <v>0.47222222222222227</v>
      </c>
      <c r="D5" s="4">
        <f>IF(B5=0,"00:00",G5+(B5-1)*H5)</f>
        <v>6.9444444444444441E-3</v>
      </c>
      <c r="G5" s="4">
        <v>6.9444444444444441E-3</v>
      </c>
      <c r="H5" s="4">
        <v>6.9444444444444441E-3</v>
      </c>
    </row>
    <row r="6" spans="1:8" ht="20.100000000000001" customHeight="1" x14ac:dyDescent="0.3">
      <c r="A6" s="7" t="s">
        <v>19</v>
      </c>
      <c r="C6" s="5">
        <f t="shared" si="0"/>
        <v>0.47916666666666669</v>
      </c>
    </row>
    <row r="10" spans="1:8" ht="20.100000000000001" customHeight="1" x14ac:dyDescent="0.3">
      <c r="B10" s="13" t="s">
        <v>34</v>
      </c>
    </row>
  </sheetData>
  <pageMargins left="0.7" right="0.7" top="0.75" bottom="0.75" header="0.3" footer="0.3"/>
  <pageSetup paperSize="9" scale="46" orientation="landscape"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123D-E572-423C-86C9-BB801DEC0E60}">
  <dimension ref="A1:N22"/>
  <sheetViews>
    <sheetView tabSelected="1" zoomScaleNormal="100" workbookViewId="0">
      <selection activeCell="F15" sqref="F15"/>
    </sheetView>
  </sheetViews>
  <sheetFormatPr defaultColWidth="8.6640625" defaultRowHeight="20.100000000000001" customHeight="1" x14ac:dyDescent="0.3"/>
  <cols>
    <col min="1" max="2" width="7.44140625" style="11" customWidth="1"/>
    <col min="3" max="3" width="41.6640625" style="11" customWidth="1"/>
    <col min="4" max="4" width="13.5546875" style="11" customWidth="1"/>
    <col min="5" max="5" width="16.6640625" style="11" bestFit="1" customWidth="1"/>
    <col min="6" max="6" width="14.6640625" style="11" customWidth="1"/>
    <col min="7" max="7" width="15.5546875" style="11" customWidth="1"/>
    <col min="8" max="8" width="17.109375" style="11" customWidth="1"/>
    <col min="9" max="10" width="12.33203125" style="11" customWidth="1"/>
    <col min="11" max="11" width="36.5546875" style="11" customWidth="1"/>
    <col min="12" max="12" width="205.33203125" style="11" bestFit="1" customWidth="1"/>
    <col min="13" max="13" width="26.109375" style="11" customWidth="1"/>
    <col min="14" max="14" width="8.6640625" style="11"/>
    <col min="15" max="16384" width="8.6640625" style="1"/>
  </cols>
  <sheetData>
    <row r="1" spans="1:13" ht="42.9" customHeight="1" x14ac:dyDescent="0.3">
      <c r="A1" s="12" t="s">
        <v>1</v>
      </c>
      <c r="B1" s="12" t="s">
        <v>2</v>
      </c>
      <c r="C1" s="12" t="s">
        <v>3</v>
      </c>
      <c r="D1" s="12" t="s">
        <v>4</v>
      </c>
      <c r="E1" s="11" t="s">
        <v>6</v>
      </c>
      <c r="F1" s="11" t="s">
        <v>7</v>
      </c>
      <c r="G1" s="11" t="s">
        <v>8</v>
      </c>
      <c r="H1" s="12" t="s">
        <v>20</v>
      </c>
      <c r="I1" s="12" t="s">
        <v>5</v>
      </c>
      <c r="J1" s="12" t="s">
        <v>35</v>
      </c>
      <c r="K1" s="12" t="s">
        <v>0</v>
      </c>
      <c r="L1" s="12" t="s">
        <v>9</v>
      </c>
      <c r="M1" s="12" t="s">
        <v>30</v>
      </c>
    </row>
    <row r="2" spans="1:13" ht="20.100000000000001" customHeight="1" x14ac:dyDescent="0.3">
      <c r="A2" s="11">
        <v>1</v>
      </c>
      <c r="B2" s="11">
        <v>1</v>
      </c>
      <c r="C2" s="11" t="s">
        <v>50</v>
      </c>
      <c r="D2" s="11">
        <v>2</v>
      </c>
      <c r="E2" s="13" t="s">
        <v>37</v>
      </c>
      <c r="H2" s="11">
        <v>2</v>
      </c>
      <c r="I2" s="14">
        <v>0.5</v>
      </c>
      <c r="J2" s="14">
        <v>6.9444444444444441E-3</v>
      </c>
      <c r="K2" s="11" t="s">
        <v>51</v>
      </c>
      <c r="L2" s="11" t="s">
        <v>52</v>
      </c>
    </row>
    <row r="3" spans="1:13" ht="20.100000000000001" customHeight="1" x14ac:dyDescent="0.3">
      <c r="A3" s="11">
        <v>1</v>
      </c>
      <c r="B3" s="11">
        <v>2</v>
      </c>
      <c r="C3" s="11" t="s">
        <v>53</v>
      </c>
      <c r="D3" s="11">
        <v>1</v>
      </c>
      <c r="E3" s="13" t="s">
        <v>37</v>
      </c>
      <c r="H3" s="11">
        <v>1</v>
      </c>
      <c r="I3" s="19">
        <f>I2+J2</f>
        <v>0.50694444444444442</v>
      </c>
      <c r="J3" s="14">
        <v>3.472222222222222E-3</v>
      </c>
      <c r="K3" s="11" t="s">
        <v>51</v>
      </c>
      <c r="L3" s="11" t="s">
        <v>54</v>
      </c>
    </row>
    <row r="4" spans="1:13" ht="31.2" x14ac:dyDescent="0.3">
      <c r="A4" s="11">
        <v>2</v>
      </c>
      <c r="B4" s="11">
        <v>1</v>
      </c>
      <c r="C4" s="11" t="s">
        <v>56</v>
      </c>
      <c r="D4" s="11">
        <v>2</v>
      </c>
      <c r="E4" s="13" t="s">
        <v>37</v>
      </c>
      <c r="F4" s="11" t="s">
        <v>57</v>
      </c>
      <c r="H4" s="11">
        <v>2</v>
      </c>
      <c r="I4" s="19">
        <f t="shared" ref="I4:I21" si="0">I3+J3</f>
        <v>0.51041666666666663</v>
      </c>
      <c r="J4" s="14">
        <v>1.0416666666666666E-2</v>
      </c>
      <c r="K4" s="11" t="s">
        <v>65</v>
      </c>
      <c r="L4" s="11" t="s">
        <v>55</v>
      </c>
    </row>
    <row r="5" spans="1:13" ht="15.6" x14ac:dyDescent="0.3">
      <c r="A5" s="11">
        <v>2</v>
      </c>
      <c r="B5" s="11">
        <v>2</v>
      </c>
      <c r="C5" s="11" t="s">
        <v>58</v>
      </c>
      <c r="D5" s="11">
        <v>1</v>
      </c>
      <c r="E5" s="13" t="s">
        <v>57</v>
      </c>
      <c r="H5" s="11">
        <v>1</v>
      </c>
      <c r="I5" s="19">
        <f t="shared" si="0"/>
        <v>0.52083333333333326</v>
      </c>
      <c r="J5" s="14">
        <v>3.472222222222222E-3</v>
      </c>
      <c r="K5" s="11" t="s">
        <v>49</v>
      </c>
      <c r="L5" s="11" t="s">
        <v>59</v>
      </c>
    </row>
    <row r="6" spans="1:13" ht="16.8" x14ac:dyDescent="0.4">
      <c r="A6" s="11">
        <v>3</v>
      </c>
      <c r="B6" s="11">
        <v>1</v>
      </c>
      <c r="C6" s="11" t="s">
        <v>60</v>
      </c>
      <c r="D6" s="11">
        <v>3</v>
      </c>
      <c r="E6" s="11" t="s">
        <v>37</v>
      </c>
      <c r="F6" s="11" t="s">
        <v>57</v>
      </c>
      <c r="H6" s="11">
        <v>5</v>
      </c>
      <c r="I6" s="19">
        <f t="shared" si="0"/>
        <v>0.52430555555555547</v>
      </c>
      <c r="J6" s="14">
        <v>1.0416666666666666E-2</v>
      </c>
      <c r="K6" s="11" t="s">
        <v>62</v>
      </c>
      <c r="L6" s="21" t="s">
        <v>61</v>
      </c>
    </row>
    <row r="7" spans="1:13" ht="20.100000000000001" customHeight="1" x14ac:dyDescent="0.4">
      <c r="A7" s="11">
        <v>4</v>
      </c>
      <c r="B7" s="11">
        <v>1</v>
      </c>
      <c r="C7" s="11" t="s">
        <v>66</v>
      </c>
      <c r="D7" s="11">
        <v>2</v>
      </c>
      <c r="E7" s="11" t="s">
        <v>37</v>
      </c>
      <c r="F7" s="11" t="s">
        <v>57</v>
      </c>
      <c r="H7" s="11">
        <v>2</v>
      </c>
      <c r="I7" s="19">
        <f t="shared" si="0"/>
        <v>0.5347222222222221</v>
      </c>
      <c r="J7" s="14">
        <v>6.9444444444444441E-3</v>
      </c>
      <c r="K7" s="11" t="s">
        <v>64</v>
      </c>
      <c r="L7" s="21" t="s">
        <v>63</v>
      </c>
    </row>
    <row r="8" spans="1:13" ht="20.100000000000001" customHeight="1" x14ac:dyDescent="0.3">
      <c r="A8" s="15"/>
      <c r="B8" s="15"/>
      <c r="C8" s="15" t="s">
        <v>10</v>
      </c>
      <c r="D8" s="15"/>
      <c r="E8" s="15"/>
      <c r="F8" s="15"/>
      <c r="G8" s="15"/>
      <c r="H8" s="15"/>
      <c r="I8" s="19">
        <f t="shared" si="0"/>
        <v>0.54166666666666652</v>
      </c>
      <c r="J8" s="16">
        <v>4.1666666666666664E-2</v>
      </c>
      <c r="K8" s="15"/>
      <c r="L8" s="15"/>
      <c r="M8" s="15"/>
    </row>
    <row r="9" spans="1:13" ht="20.100000000000001" customHeight="1" x14ac:dyDescent="0.3">
      <c r="A9" s="15"/>
      <c r="B9" s="15"/>
      <c r="C9" s="15" t="s">
        <v>21</v>
      </c>
      <c r="D9" s="15"/>
      <c r="E9" s="15"/>
      <c r="F9" s="15"/>
      <c r="G9" s="15"/>
      <c r="H9" s="15"/>
      <c r="I9" s="19">
        <f t="shared" si="0"/>
        <v>0.58333333333333315</v>
      </c>
      <c r="J9" s="16">
        <v>2.0833333333333332E-2</v>
      </c>
      <c r="K9" s="15"/>
      <c r="L9" s="15"/>
      <c r="M9" s="15"/>
    </row>
    <row r="10" spans="1:13" ht="20.100000000000001" customHeight="1" x14ac:dyDescent="0.3">
      <c r="A10" s="11">
        <v>4</v>
      </c>
      <c r="B10" s="11">
        <v>2</v>
      </c>
      <c r="C10" s="11" t="s">
        <v>70</v>
      </c>
      <c r="D10" s="11">
        <v>2</v>
      </c>
      <c r="E10" s="11" t="s">
        <v>37</v>
      </c>
      <c r="F10" s="11" t="s">
        <v>69</v>
      </c>
      <c r="H10" s="11">
        <v>3</v>
      </c>
      <c r="I10" s="19">
        <f t="shared" si="0"/>
        <v>0.60416666666666652</v>
      </c>
      <c r="J10" s="14">
        <v>6.9444444444444441E-3</v>
      </c>
      <c r="K10" s="11" t="s">
        <v>68</v>
      </c>
      <c r="L10" s="11" t="s">
        <v>67</v>
      </c>
    </row>
    <row r="11" spans="1:13" ht="15.6" x14ac:dyDescent="0.3">
      <c r="A11" s="11">
        <v>5</v>
      </c>
      <c r="B11" s="11">
        <v>1</v>
      </c>
      <c r="C11" s="11" t="s">
        <v>73</v>
      </c>
      <c r="D11" s="11">
        <v>2</v>
      </c>
      <c r="E11" s="11" t="s">
        <v>37</v>
      </c>
      <c r="F11" s="11" t="s">
        <v>57</v>
      </c>
      <c r="H11" s="11">
        <v>3</v>
      </c>
      <c r="I11" s="19">
        <f t="shared" si="0"/>
        <v>0.61111111111111094</v>
      </c>
      <c r="J11" s="14">
        <v>1.0416666666666666E-2</v>
      </c>
      <c r="K11" s="11" t="s">
        <v>72</v>
      </c>
      <c r="L11" s="22" t="s">
        <v>71</v>
      </c>
    </row>
    <row r="12" spans="1:13" ht="20.100000000000001" customHeight="1" x14ac:dyDescent="0.3">
      <c r="A12" s="11">
        <v>5</v>
      </c>
      <c r="B12" s="11">
        <v>2</v>
      </c>
      <c r="C12" s="11" t="s">
        <v>75</v>
      </c>
      <c r="D12" s="11">
        <v>1</v>
      </c>
      <c r="E12" s="11" t="s">
        <v>37</v>
      </c>
      <c r="F12" s="11" t="s">
        <v>57</v>
      </c>
      <c r="H12" s="11">
        <v>2</v>
      </c>
      <c r="I12" s="19">
        <f t="shared" si="0"/>
        <v>0.62152777777777757</v>
      </c>
      <c r="J12" s="14">
        <v>1.0416666666666666E-2</v>
      </c>
      <c r="K12" s="11" t="s">
        <v>76</v>
      </c>
      <c r="L12" s="22" t="s">
        <v>74</v>
      </c>
    </row>
    <row r="13" spans="1:13" ht="20.100000000000001" customHeight="1" x14ac:dyDescent="0.3">
      <c r="A13" s="11">
        <v>6</v>
      </c>
      <c r="B13" s="11">
        <v>1</v>
      </c>
      <c r="C13" s="11" t="s">
        <v>78</v>
      </c>
      <c r="D13" s="11">
        <v>3</v>
      </c>
      <c r="E13" s="11" t="s">
        <v>37</v>
      </c>
      <c r="F13" s="11" t="s">
        <v>57</v>
      </c>
      <c r="G13" s="11" t="s">
        <v>83</v>
      </c>
      <c r="H13" s="11">
        <v>4</v>
      </c>
      <c r="I13" s="19">
        <f t="shared" si="0"/>
        <v>0.6319444444444442</v>
      </c>
      <c r="J13" s="14">
        <v>1.0416666666666666E-2</v>
      </c>
      <c r="K13" s="11" t="s">
        <v>79</v>
      </c>
      <c r="L13" s="11" t="s">
        <v>77</v>
      </c>
    </row>
    <row r="14" spans="1:13" ht="20.100000000000001" customHeight="1" x14ac:dyDescent="0.3">
      <c r="A14" s="11">
        <v>2</v>
      </c>
      <c r="B14" s="11">
        <v>5</v>
      </c>
      <c r="I14" s="19">
        <f t="shared" si="0"/>
        <v>0.64236111111111083</v>
      </c>
      <c r="J14" s="14">
        <v>6.9444444444444441E-3</v>
      </c>
    </row>
    <row r="15" spans="1:13" ht="20.100000000000001" customHeight="1" x14ac:dyDescent="0.3">
      <c r="A15" s="15"/>
      <c r="B15" s="15"/>
      <c r="C15" s="16" t="s">
        <v>29</v>
      </c>
      <c r="D15" s="15"/>
      <c r="E15" s="15"/>
      <c r="F15" s="15"/>
      <c r="G15" s="15"/>
      <c r="H15" s="15"/>
      <c r="I15" s="19">
        <f t="shared" si="0"/>
        <v>0.64930555555555525</v>
      </c>
      <c r="J15" s="16">
        <v>6.9444444444444441E-3</v>
      </c>
      <c r="K15" s="15"/>
      <c r="L15" s="15"/>
      <c r="M15" s="15"/>
    </row>
    <row r="16" spans="1:13" ht="20.100000000000001" customHeight="1" x14ac:dyDescent="0.3">
      <c r="A16" s="11" t="s">
        <v>82</v>
      </c>
      <c r="B16" s="11" t="s">
        <v>82</v>
      </c>
      <c r="C16" s="11" t="s">
        <v>81</v>
      </c>
      <c r="I16" s="19">
        <f t="shared" si="0"/>
        <v>0.65624999999999967</v>
      </c>
      <c r="J16" s="14">
        <v>6.9444444444444441E-3</v>
      </c>
    </row>
    <row r="17" spans="1:13" ht="20.100000000000001" customHeight="1" x14ac:dyDescent="0.3">
      <c r="A17" s="11" t="s">
        <v>82</v>
      </c>
      <c r="B17" s="11" t="s">
        <v>82</v>
      </c>
      <c r="I17" s="19">
        <f t="shared" si="0"/>
        <v>0.66319444444444409</v>
      </c>
      <c r="J17" s="14">
        <v>6.9444444444444441E-3</v>
      </c>
    </row>
    <row r="18" spans="1:13" ht="20.100000000000001" customHeight="1" x14ac:dyDescent="0.3">
      <c r="A18" s="11" t="s">
        <v>82</v>
      </c>
      <c r="B18" s="11" t="s">
        <v>82</v>
      </c>
      <c r="I18" s="19">
        <f t="shared" si="0"/>
        <v>0.67013888888888851</v>
      </c>
      <c r="J18" s="14">
        <v>6.9444444444444441E-3</v>
      </c>
    </row>
    <row r="19" spans="1:13" ht="20.100000000000001" customHeight="1" x14ac:dyDescent="0.3">
      <c r="A19" s="11" t="s">
        <v>82</v>
      </c>
      <c r="B19" s="11" t="s">
        <v>82</v>
      </c>
      <c r="I19" s="19">
        <f t="shared" si="0"/>
        <v>0.67708333333333293</v>
      </c>
      <c r="J19" s="14">
        <v>6.9444444444444441E-3</v>
      </c>
    </row>
    <row r="20" spans="1:13" ht="20.100000000000001" customHeight="1" x14ac:dyDescent="0.3">
      <c r="A20" s="15"/>
      <c r="B20" s="15"/>
      <c r="C20" s="15" t="s">
        <v>22</v>
      </c>
      <c r="D20" s="15"/>
      <c r="E20" s="15"/>
      <c r="F20" s="15"/>
      <c r="G20" s="15"/>
      <c r="H20" s="15"/>
      <c r="I20" s="19">
        <f t="shared" si="0"/>
        <v>0.68402777777777735</v>
      </c>
      <c r="J20" s="16">
        <v>3.125E-2</v>
      </c>
      <c r="K20" s="15"/>
      <c r="L20" s="15"/>
      <c r="M20" s="15"/>
    </row>
    <row r="21" spans="1:13" ht="20.100000000000001" customHeight="1" x14ac:dyDescent="0.3">
      <c r="A21" s="15"/>
      <c r="B21" s="15"/>
      <c r="C21" s="15" t="s">
        <v>23</v>
      </c>
      <c r="D21" s="15"/>
      <c r="E21" s="15"/>
      <c r="F21" s="15"/>
      <c r="G21" s="15"/>
      <c r="H21" s="15"/>
      <c r="I21" s="19">
        <f t="shared" si="0"/>
        <v>0.71527777777777735</v>
      </c>
      <c r="J21" s="16"/>
      <c r="K21" s="15"/>
      <c r="L21" s="15"/>
      <c r="M21" s="15"/>
    </row>
    <row r="22" spans="1:13" ht="20.100000000000001" customHeight="1" x14ac:dyDescent="0.3">
      <c r="J22" s="13" t="s">
        <v>36</v>
      </c>
    </row>
  </sheetData>
  <pageMargins left="0.7" right="0.7" top="0.75" bottom="0.75" header="0.3" footer="0.3"/>
  <pageSetup paperSize="9" scale="46"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Characters</vt:lpstr>
      <vt:lpstr>SetupTime</vt:lpstr>
      <vt:lpstr>ShootPlan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Gavin Lewis</dc:creator>
  <cp:lastModifiedBy>2311323 Piper Crow</cp:lastModifiedBy>
  <dcterms:created xsi:type="dcterms:W3CDTF">2025-12-03T13:38:01Z</dcterms:created>
  <dcterms:modified xsi:type="dcterms:W3CDTF">2025-12-11T16:47:31Z</dcterms:modified>
</cp:coreProperties>
</file>